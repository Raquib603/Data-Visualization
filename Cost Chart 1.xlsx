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ata Science\EXCEL\"/>
    </mc:Choice>
  </mc:AlternateContent>
  <xr:revisionPtr revIDLastSave="0" documentId="13_ncr:1_{431A5A6C-3612-49A6-A04E-ED6F4487101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2" i="1"/>
  <c r="H3" i="1"/>
  <c r="H4" i="1"/>
  <c r="H5" i="1"/>
  <c r="H6" i="1"/>
  <c r="H7" i="1"/>
  <c r="H8" i="1"/>
  <c r="H9" i="1"/>
  <c r="H10" i="1"/>
  <c r="H11" i="1"/>
  <c r="H12" i="1"/>
  <c r="H2" i="1"/>
  <c r="G3" i="1"/>
  <c r="G4" i="1"/>
  <c r="G5" i="1"/>
  <c r="G6" i="1"/>
  <c r="G7" i="1"/>
  <c r="G8" i="1"/>
  <c r="G9" i="1"/>
  <c r="G10" i="1"/>
  <c r="G11" i="1"/>
  <c r="G12" i="1"/>
  <c r="G2" i="1"/>
  <c r="F3" i="1"/>
  <c r="F4" i="1"/>
  <c r="F5" i="1"/>
  <c r="F6" i="1"/>
  <c r="F7" i="1"/>
  <c r="F8" i="1"/>
  <c r="F9" i="1"/>
  <c r="F10" i="1"/>
  <c r="F11" i="1"/>
  <c r="F12" i="1"/>
  <c r="E4" i="1"/>
  <c r="E11" i="1"/>
  <c r="E12" i="1"/>
  <c r="E2" i="1"/>
  <c r="D3" i="1"/>
  <c r="D4" i="1"/>
  <c r="D5" i="1"/>
  <c r="D6" i="1"/>
  <c r="D7" i="1"/>
  <c r="E7" i="1" s="1"/>
  <c r="D8" i="1"/>
  <c r="D9" i="1"/>
  <c r="D10" i="1"/>
  <c r="E10" i="1" s="1"/>
  <c r="D11" i="1"/>
  <c r="D12" i="1"/>
  <c r="D2" i="1"/>
  <c r="E9" i="1" l="1"/>
  <c r="E8" i="1"/>
  <c r="E6" i="1"/>
  <c r="E5" i="1"/>
  <c r="E3" i="1"/>
</calcChain>
</file>

<file path=xl/sharedStrings.xml><?xml version="1.0" encoding="utf-8"?>
<sst xmlns="http://schemas.openxmlformats.org/spreadsheetml/2006/main" count="9" uniqueCount="9">
  <si>
    <t xml:space="preserve">Programmers </t>
  </si>
  <si>
    <t>Lines of codes per month</t>
  </si>
  <si>
    <t>Marginal Costs(Average)</t>
  </si>
  <si>
    <t>Fixed Costs(Rental+HR)</t>
  </si>
  <si>
    <t xml:space="preserve">Variable costs(salary*n. of programmer) </t>
  </si>
  <si>
    <t>Total Costs(FC+VB)</t>
  </si>
  <si>
    <t>Average Fixed Costs (FC/line Codes per month)</t>
  </si>
  <si>
    <t>Average variable costs(VC/line of codes per month)</t>
  </si>
  <si>
    <t>Average total costs (TC/line of code)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</si>
</sst>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142405996041938"/>
          <c:y val="0.15502612330198537"/>
          <c:w val="0.87243214918990741"/>
          <c:h val="0.53985173483408611"/>
        </c:manualLayout>
      </c:layout>
      <c:lineChart>
        <c:grouping val="standar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Average Fixed Costs (FC/line Codes per month)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Sheet1!$F$2:$F$16</c:f>
              <c:numCache>
                <c:formatCode>#,##0.00</c:formatCode>
                <c:ptCount val="15"/>
                <c:pt idx="1">
                  <c:v>3.75</c:v>
                </c:pt>
                <c:pt idx="2">
                  <c:v>2.1428571428571428</c:v>
                </c:pt>
                <c:pt idx="3">
                  <c:v>1.6666666666666667</c:v>
                </c:pt>
                <c:pt idx="4">
                  <c:v>1.5</c:v>
                </c:pt>
                <c:pt idx="5">
                  <c:v>1.4150943396226414</c:v>
                </c:pt>
                <c:pt idx="6">
                  <c:v>1.3636363636363635</c:v>
                </c:pt>
                <c:pt idx="7">
                  <c:v>1.3157894736842106</c:v>
                </c:pt>
                <c:pt idx="8">
                  <c:v>1.3392857142857142</c:v>
                </c:pt>
                <c:pt idx="9">
                  <c:v>1.3636363636363635</c:v>
                </c:pt>
                <c:pt idx="10">
                  <c:v>1.3761467889908257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2F-4D5A-B8D6-F2258E9CB6F9}"/>
            </c:ext>
          </c:extLst>
        </c:ser>
        <c:ser>
          <c:idx val="1"/>
          <c:order val="1"/>
          <c:tx>
            <c:strRef>
              <c:f>Sheet1!$G$1</c:f>
              <c:strCache>
                <c:ptCount val="1"/>
                <c:pt idx="0">
                  <c:v>Average variable costs(VC/line of codes per month)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Sheet1!$G$2:$G$16</c:f>
              <c:numCache>
                <c:formatCode>#,##0.00</c:formatCode>
                <c:ptCount val="15"/>
                <c:pt idx="0">
                  <c:v>0</c:v>
                </c:pt>
                <c:pt idx="1">
                  <c:v>2.5</c:v>
                </c:pt>
                <c:pt idx="2">
                  <c:v>2.8571428571428572</c:v>
                </c:pt>
                <c:pt idx="3">
                  <c:v>3.3333333333333335</c:v>
                </c:pt>
                <c:pt idx="4">
                  <c:v>4</c:v>
                </c:pt>
                <c:pt idx="5">
                  <c:v>4.716981132075472</c:v>
                </c:pt>
                <c:pt idx="6">
                  <c:v>5.4545454545454541</c:v>
                </c:pt>
                <c:pt idx="7">
                  <c:v>6.1403508771929829</c:v>
                </c:pt>
                <c:pt idx="8">
                  <c:v>7.1428571428571432</c:v>
                </c:pt>
                <c:pt idx="9">
                  <c:v>8.1818181818181817</c:v>
                </c:pt>
                <c:pt idx="10">
                  <c:v>9.1743119266055047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2F-4D5A-B8D6-F2258E9CB6F9}"/>
            </c:ext>
          </c:extLst>
        </c:ser>
        <c:ser>
          <c:idx val="2"/>
          <c:order val="2"/>
          <c:tx>
            <c:strRef>
              <c:f>Sheet1!$H$1</c:f>
              <c:strCache>
                <c:ptCount val="1"/>
                <c:pt idx="0">
                  <c:v>Average total costs (TC/line of code)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Sheet1!$H$2:$H$16</c:f>
              <c:numCache>
                <c:formatCode>#,##0.00</c:formatCode>
                <c:ptCount val="15"/>
                <c:pt idx="0">
                  <c:v>0</c:v>
                </c:pt>
                <c:pt idx="1">
                  <c:v>6.25</c:v>
                </c:pt>
                <c:pt idx="2">
                  <c:v>5</c:v>
                </c:pt>
                <c:pt idx="3">
                  <c:v>5</c:v>
                </c:pt>
                <c:pt idx="4">
                  <c:v>5.5</c:v>
                </c:pt>
                <c:pt idx="5">
                  <c:v>6.132075471698113</c:v>
                </c:pt>
                <c:pt idx="6">
                  <c:v>6.8181818181818183</c:v>
                </c:pt>
                <c:pt idx="7">
                  <c:v>7.4561403508771926</c:v>
                </c:pt>
                <c:pt idx="8">
                  <c:v>8.4821428571428577</c:v>
                </c:pt>
                <c:pt idx="9">
                  <c:v>9.545454545454545</c:v>
                </c:pt>
                <c:pt idx="10">
                  <c:v>10.55045871559633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2F-4D5A-B8D6-F2258E9CB6F9}"/>
            </c:ext>
          </c:extLst>
        </c:ser>
        <c:ser>
          <c:idx val="3"/>
          <c:order val="3"/>
          <c:tx>
            <c:strRef>
              <c:f>Sheet1!$I$1</c:f>
              <c:strCache>
                <c:ptCount val="1"/>
                <c:pt idx="0">
                  <c:v>Marginal Costs(Average)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Sheet1!$I$2:$I$16</c:f>
              <c:numCache>
                <c:formatCode>#,##0.00</c:formatCode>
                <c:ptCount val="15"/>
                <c:pt idx="0">
                  <c:v>2.5</c:v>
                </c:pt>
                <c:pt idx="1">
                  <c:v>3.3333333333333335</c:v>
                </c:pt>
                <c:pt idx="2">
                  <c:v>5</c:v>
                </c:pt>
                <c:pt idx="3">
                  <c:v>10</c:v>
                </c:pt>
                <c:pt idx="4">
                  <c:v>16.666666666666668</c:v>
                </c:pt>
                <c:pt idx="5">
                  <c:v>25</c:v>
                </c:pt>
                <c:pt idx="6">
                  <c:v>25</c:v>
                </c:pt>
                <c:pt idx="7">
                  <c:v>-50</c:v>
                </c:pt>
                <c:pt idx="8">
                  <c:v>-50</c:v>
                </c:pt>
                <c:pt idx="9">
                  <c:v>-100</c:v>
                </c:pt>
                <c:pt idx="10">
                  <c:v>10.55045871559633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22F-4D5A-B8D6-F2258E9CB6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1761712"/>
        <c:axId val="1671762192"/>
      </c:lineChart>
      <c:catAx>
        <c:axId val="1671761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762192"/>
        <c:crosses val="autoZero"/>
        <c:auto val="1"/>
        <c:lblAlgn val="ctr"/>
        <c:lblOffset val="100"/>
        <c:noMultiLvlLbl val="0"/>
      </c:catAx>
      <c:valAx>
        <c:axId val="167176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761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171449</xdr:colOff>
      <xdr:row>12</xdr:row>
      <xdr:rowOff>171449</xdr:rowOff>
    </xdr:from>
    <xdr:to>
      <xdr:col>6</xdr:col>
      <xdr:colOff>1095374</xdr:colOff>
      <xdr:row>28</xdr:row>
      <xdr:rowOff>161924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B69C14D-9523-3AFE-9858-D2ED8552F0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zoomScaleNormal="100" workbookViewId="0"/>
  </sheetViews>
  <sheetFormatPr defaultRowHeight="15" x14ac:dyDescent="0.25"/>
  <cols>
    <col min="1" max="1" width="20" style="1" customWidth="1"/>
    <col min="2" max="2" width="25" style="1" customWidth="1"/>
    <col min="3" max="3" width="25.42578125" style="1" customWidth="1"/>
    <col min="4" max="4" width="20.85546875" style="1" customWidth="1"/>
    <col min="5" max="5" width="23.5703125" style="1" customWidth="1"/>
    <col min="6" max="6" width="21.85546875" style="1" customWidth="1"/>
    <col min="7" max="7" width="22" style="1" customWidth="1"/>
    <col min="8" max="8" width="22.85546875" style="1" customWidth="1"/>
    <col min="9" max="9" width="34.85546875" style="1" customWidth="1"/>
    <col min="10" max="16384" width="9.140625" style="1"/>
  </cols>
  <sheetData>
    <row r="1" spans="1:9" s="2" customFormat="1" ht="77.25" customHeight="1" x14ac:dyDescent="0.25">
      <c r="A1" s="2" t="s">
        <v>0</v>
      </c>
      <c r="B1" s="2" t="s">
        <v>1</v>
      </c>
      <c r="C1" s="2" t="s">
        <v>3</v>
      </c>
      <c r="D1" s="3" t="s">
        <v>4</v>
      </c>
      <c r="E1" s="2" t="s">
        <v>5</v>
      </c>
      <c r="F1" s="3" t="s">
        <v>6</v>
      </c>
      <c r="G1" s="3" t="s">
        <v>7</v>
      </c>
      <c r="H1" s="3" t="s">
        <v>8</v>
      </c>
      <c r="I1" s="2" t="s">
        <v>2</v>
      </c>
    </row>
    <row r="2" spans="1:9" x14ac:dyDescent="0.25">
      <c r="A2" s="1">
        <v>0</v>
      </c>
      <c r="B2" s="1">
        <v>0</v>
      </c>
      <c r="C2" s="1">
        <v>15000</v>
      </c>
      <c r="D2" s="1">
        <f>10000*A2</f>
        <v>0</v>
      </c>
      <c r="E2" s="1">
        <f>C2+D2</f>
        <v>15000</v>
      </c>
      <c r="G2" s="1" t="str">
        <f>IF(B2=0,"",D2/B2)</f>
        <v/>
      </c>
      <c r="H2" s="1" t="str">
        <f>IF(B2=0,"",E2/B2)</f>
        <v/>
      </c>
      <c r="I2" s="1">
        <f>IF((B3-B2)=0,"",(E3-E2)/(B3-B2))</f>
        <v>2.5</v>
      </c>
    </row>
    <row r="3" spans="1:9" x14ac:dyDescent="0.25">
      <c r="A3" s="1">
        <v>1</v>
      </c>
      <c r="B3" s="1">
        <v>4000</v>
      </c>
      <c r="C3" s="1">
        <v>15000</v>
      </c>
      <c r="D3" s="1">
        <f t="shared" ref="D3:D12" si="0">10000*A3</f>
        <v>10000</v>
      </c>
      <c r="E3" s="1">
        <f t="shared" ref="E3:E12" si="1">C3+D3</f>
        <v>25000</v>
      </c>
      <c r="F3" s="1">
        <f t="shared" ref="F3:F12" si="2">IF(B3=0,"",C3/B3)</f>
        <v>3.75</v>
      </c>
      <c r="G3" s="1">
        <f t="shared" ref="G3:G12" si="3">IF(B3=0,"",D3/B3)</f>
        <v>2.5</v>
      </c>
      <c r="H3" s="1">
        <f t="shared" ref="H3:H12" si="4">IF(B3=0,"",E3/B3)</f>
        <v>6.25</v>
      </c>
      <c r="I3" s="1">
        <f t="shared" ref="I3:I13" si="5">IF((B4-B3)=0,"",(E4-E3)/(B4-B3))</f>
        <v>3.3333333333333335</v>
      </c>
    </row>
    <row r="4" spans="1:9" x14ac:dyDescent="0.25">
      <c r="A4" s="1">
        <v>2</v>
      </c>
      <c r="B4" s="1">
        <v>7000</v>
      </c>
      <c r="C4" s="1">
        <v>15000</v>
      </c>
      <c r="D4" s="1">
        <f t="shared" si="0"/>
        <v>20000</v>
      </c>
      <c r="E4" s="1">
        <f t="shared" si="1"/>
        <v>35000</v>
      </c>
      <c r="F4" s="1">
        <f t="shared" si="2"/>
        <v>2.1428571428571428</v>
      </c>
      <c r="G4" s="1">
        <f t="shared" si="3"/>
        <v>2.8571428571428572</v>
      </c>
      <c r="H4" s="1">
        <f t="shared" si="4"/>
        <v>5</v>
      </c>
      <c r="I4" s="1">
        <f t="shared" si="5"/>
        <v>5</v>
      </c>
    </row>
    <row r="5" spans="1:9" x14ac:dyDescent="0.25">
      <c r="A5" s="1">
        <v>3</v>
      </c>
      <c r="B5" s="1">
        <v>9000</v>
      </c>
      <c r="C5" s="1">
        <v>15000</v>
      </c>
      <c r="D5" s="1">
        <f t="shared" si="0"/>
        <v>30000</v>
      </c>
      <c r="E5" s="1">
        <f t="shared" si="1"/>
        <v>45000</v>
      </c>
      <c r="F5" s="1">
        <f t="shared" si="2"/>
        <v>1.6666666666666667</v>
      </c>
      <c r="G5" s="1">
        <f t="shared" si="3"/>
        <v>3.3333333333333335</v>
      </c>
      <c r="H5" s="1">
        <f t="shared" si="4"/>
        <v>5</v>
      </c>
      <c r="I5" s="1">
        <f t="shared" si="5"/>
        <v>10</v>
      </c>
    </row>
    <row r="6" spans="1:9" x14ac:dyDescent="0.25">
      <c r="A6" s="1">
        <v>4</v>
      </c>
      <c r="B6" s="1">
        <v>10000</v>
      </c>
      <c r="C6" s="1">
        <v>15000</v>
      </c>
      <c r="D6" s="1">
        <f t="shared" si="0"/>
        <v>40000</v>
      </c>
      <c r="E6" s="1">
        <f t="shared" si="1"/>
        <v>55000</v>
      </c>
      <c r="F6" s="1">
        <f t="shared" si="2"/>
        <v>1.5</v>
      </c>
      <c r="G6" s="1">
        <f t="shared" si="3"/>
        <v>4</v>
      </c>
      <c r="H6" s="1">
        <f t="shared" si="4"/>
        <v>5.5</v>
      </c>
      <c r="I6" s="1">
        <f t="shared" si="5"/>
        <v>16.666666666666668</v>
      </c>
    </row>
    <row r="7" spans="1:9" x14ac:dyDescent="0.25">
      <c r="A7" s="1">
        <v>5</v>
      </c>
      <c r="B7" s="1">
        <v>10600</v>
      </c>
      <c r="C7" s="1">
        <v>15000</v>
      </c>
      <c r="D7" s="1">
        <f t="shared" si="0"/>
        <v>50000</v>
      </c>
      <c r="E7" s="1">
        <f t="shared" si="1"/>
        <v>65000</v>
      </c>
      <c r="F7" s="1">
        <f t="shared" si="2"/>
        <v>1.4150943396226414</v>
      </c>
      <c r="G7" s="1">
        <f t="shared" si="3"/>
        <v>4.716981132075472</v>
      </c>
      <c r="H7" s="1">
        <f t="shared" si="4"/>
        <v>6.132075471698113</v>
      </c>
      <c r="I7" s="1">
        <f t="shared" si="5"/>
        <v>25</v>
      </c>
    </row>
    <row r="8" spans="1:9" x14ac:dyDescent="0.25">
      <c r="A8" s="1">
        <v>6</v>
      </c>
      <c r="B8" s="1">
        <v>11000</v>
      </c>
      <c r="C8" s="1">
        <v>15000</v>
      </c>
      <c r="D8" s="1">
        <f t="shared" si="0"/>
        <v>60000</v>
      </c>
      <c r="E8" s="1">
        <f t="shared" si="1"/>
        <v>75000</v>
      </c>
      <c r="F8" s="1">
        <f t="shared" si="2"/>
        <v>1.3636363636363635</v>
      </c>
      <c r="G8" s="1">
        <f t="shared" si="3"/>
        <v>5.4545454545454541</v>
      </c>
      <c r="H8" s="1">
        <f t="shared" si="4"/>
        <v>6.8181818181818183</v>
      </c>
      <c r="I8" s="1">
        <f t="shared" si="5"/>
        <v>25</v>
      </c>
    </row>
    <row r="9" spans="1:9" x14ac:dyDescent="0.25">
      <c r="A9" s="1">
        <v>7</v>
      </c>
      <c r="B9" s="1">
        <v>11400</v>
      </c>
      <c r="C9" s="1">
        <v>15000</v>
      </c>
      <c r="D9" s="1">
        <f t="shared" si="0"/>
        <v>70000</v>
      </c>
      <c r="E9" s="1">
        <f t="shared" si="1"/>
        <v>85000</v>
      </c>
      <c r="F9" s="1">
        <f t="shared" si="2"/>
        <v>1.3157894736842106</v>
      </c>
      <c r="G9" s="1">
        <f t="shared" si="3"/>
        <v>6.1403508771929829</v>
      </c>
      <c r="H9" s="1">
        <f t="shared" si="4"/>
        <v>7.4561403508771926</v>
      </c>
      <c r="I9" s="1">
        <f t="shared" si="5"/>
        <v>-50</v>
      </c>
    </row>
    <row r="10" spans="1:9" x14ac:dyDescent="0.25">
      <c r="A10" s="1">
        <v>8</v>
      </c>
      <c r="B10" s="1">
        <v>11200</v>
      </c>
      <c r="C10" s="1">
        <v>15000</v>
      </c>
      <c r="D10" s="1">
        <f t="shared" si="0"/>
        <v>80000</v>
      </c>
      <c r="E10" s="1">
        <f t="shared" si="1"/>
        <v>95000</v>
      </c>
      <c r="F10" s="1">
        <f t="shared" si="2"/>
        <v>1.3392857142857142</v>
      </c>
      <c r="G10" s="1">
        <f t="shared" si="3"/>
        <v>7.1428571428571432</v>
      </c>
      <c r="H10" s="1">
        <f t="shared" si="4"/>
        <v>8.4821428571428577</v>
      </c>
      <c r="I10" s="1">
        <f t="shared" si="5"/>
        <v>-50</v>
      </c>
    </row>
    <row r="11" spans="1:9" x14ac:dyDescent="0.25">
      <c r="A11" s="1">
        <v>9</v>
      </c>
      <c r="B11" s="1">
        <v>11000</v>
      </c>
      <c r="C11" s="1">
        <v>15000</v>
      </c>
      <c r="D11" s="1">
        <f t="shared" si="0"/>
        <v>90000</v>
      </c>
      <c r="E11" s="1">
        <f t="shared" si="1"/>
        <v>105000</v>
      </c>
      <c r="F11" s="1">
        <f t="shared" si="2"/>
        <v>1.3636363636363635</v>
      </c>
      <c r="G11" s="1">
        <f t="shared" si="3"/>
        <v>8.1818181818181817</v>
      </c>
      <c r="H11" s="1">
        <f t="shared" si="4"/>
        <v>9.545454545454545</v>
      </c>
      <c r="I11" s="1">
        <f t="shared" si="5"/>
        <v>-100</v>
      </c>
    </row>
    <row r="12" spans="1:9" x14ac:dyDescent="0.25">
      <c r="A12" s="1">
        <v>10</v>
      </c>
      <c r="B12" s="1">
        <v>10900</v>
      </c>
      <c r="C12" s="1">
        <v>15000</v>
      </c>
      <c r="D12" s="1">
        <f t="shared" si="0"/>
        <v>100000</v>
      </c>
      <c r="E12" s="1">
        <f t="shared" si="1"/>
        <v>115000</v>
      </c>
      <c r="F12" s="1">
        <f t="shared" si="2"/>
        <v>1.3761467889908257</v>
      </c>
      <c r="G12" s="1">
        <f t="shared" si="3"/>
        <v>9.1743119266055047</v>
      </c>
      <c r="H12" s="1">
        <f t="shared" si="4"/>
        <v>10.55045871559633</v>
      </c>
      <c r="I12" s="1">
        <f t="shared" si="5"/>
        <v>10.55045871559633</v>
      </c>
    </row>
    <row r="13" spans="1:9" x14ac:dyDescent="0.25">
      <c r="I13" s="1" t="str">
        <f t="shared" si="5"/>
        <v/>
      </c>
    </row>
  </sheetData>
  <conditionalFormatting sqref="C2:I2 C3:H12 I3:I1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</dc:creator>
  <cp:lastModifiedBy>Raquib Hassan</cp:lastModifiedBy>
  <dcterms:created xsi:type="dcterms:W3CDTF">2024-08-29T09:57:47Z</dcterms:created>
  <dcterms:modified xsi:type="dcterms:W3CDTF">2025-11-27T11:21:34Z</dcterms:modified>
</cp:coreProperties>
</file>